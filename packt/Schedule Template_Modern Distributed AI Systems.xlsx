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cktservices-my.sharepoint.com/personal/rithikashetty_packt_com/Documents/Distributed Systems with AI/"/>
    </mc:Choice>
  </mc:AlternateContent>
  <xr:revisionPtr revIDLastSave="56" documentId="8_{455F97D5-2D15-4F32-9592-F1C9375A67BB}" xr6:coauthVersionLast="47" xr6:coauthVersionMax="47" xr10:uidLastSave="{30FF092F-9618-4C57-A797-A08816164E3E}"/>
  <bookViews>
    <workbookView xWindow="-108" yWindow="-108" windowWidth="23256" windowHeight="12456" xr2:uid="{A4D486AA-98B3-49DF-AD64-19531FF94C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H32" i="1"/>
  <c r="D32" i="1"/>
  <c r="E26" i="1"/>
  <c r="E17" i="1"/>
  <c r="D29" i="1"/>
  <c r="E27" i="1"/>
  <c r="E24" i="1"/>
  <c r="E22" i="1"/>
  <c r="E23" i="1"/>
  <c r="E21" i="1"/>
  <c r="E20" i="1"/>
  <c r="E19" i="1"/>
  <c r="E18" i="1"/>
  <c r="F16" i="1"/>
  <c r="G29" i="1"/>
  <c r="F29" i="1"/>
  <c r="F30" i="1"/>
  <c r="E29" i="1" l="1"/>
  <c r="D34" i="1"/>
  <c r="D35" i="1" s="1"/>
  <c r="F17" i="1"/>
  <c r="F18" i="1" s="1"/>
  <c r="F19" i="1" s="1"/>
  <c r="F20" i="1" l="1"/>
  <c r="F21" i="1" s="1"/>
  <c r="G17" i="1"/>
  <c r="G18" i="1" l="1"/>
  <c r="F22" i="1"/>
  <c r="G19" i="1"/>
  <c r="F23" i="1" l="1"/>
  <c r="F24" i="1" s="1"/>
  <c r="G20" i="1"/>
  <c r="G21" i="1" l="1"/>
  <c r="F25" i="1" l="1"/>
  <c r="F26" i="1" s="1"/>
  <c r="G24" i="1" s="1"/>
  <c r="G22" i="1"/>
  <c r="G23" i="1" l="1"/>
  <c r="F27" i="1" l="1"/>
  <c r="G25" i="1" s="1"/>
  <c r="G26" i="1" s="1"/>
  <c r="G27" i="1" s="1"/>
  <c r="G4" i="1" l="1"/>
  <c r="D33" i="1"/>
  <c r="D37" i="1" l="1"/>
  <c r="D38" i="1" s="1"/>
  <c r="H34" i="1"/>
  <c r="H35" i="1" s="1"/>
  <c r="H33" i="1"/>
  <c r="D40" i="1" l="1"/>
  <c r="D41" i="1" s="1"/>
  <c r="H4" i="1"/>
  <c r="H40" i="1" s="1"/>
  <c r="H41" i="1" s="1"/>
</calcChain>
</file>

<file path=xl/sharedStrings.xml><?xml version="1.0" encoding="utf-8"?>
<sst xmlns="http://schemas.openxmlformats.org/spreadsheetml/2006/main" count="56" uniqueCount="50">
  <si>
    <t>START</t>
  </si>
  <si>
    <t>Target Contracing Date</t>
  </si>
  <si>
    <t>Target Upload Date</t>
  </si>
  <si>
    <t>Target Publish Date</t>
  </si>
  <si>
    <t>Average PAGES per DAY</t>
  </si>
  <si>
    <t>AUTHOR ENGAGEMENTS</t>
  </si>
  <si>
    <t>YES/NO</t>
  </si>
  <si>
    <t>SPECIFICS</t>
  </si>
  <si>
    <t>VACATION PLANS</t>
  </si>
  <si>
    <t>NO</t>
  </si>
  <si>
    <t>CONFERENCES/SEMINARS</t>
  </si>
  <si>
    <t>WORK-RELATED PROJECTS/TRAVELS</t>
  </si>
  <si>
    <t>YES</t>
  </si>
  <si>
    <t>PERSONAL COMMITMENTS</t>
  </si>
  <si>
    <t>SCHEDULE GENERATED</t>
  </si>
  <si>
    <t>Ch. No.</t>
  </si>
  <si>
    <t>Title</t>
  </si>
  <si>
    <t>Pages</t>
  </si>
  <si>
    <t>Days</t>
  </si>
  <si>
    <t>First Draft Delivery</t>
  </si>
  <si>
    <t>Final Draft Delivery</t>
  </si>
  <si>
    <t>Product Information Document</t>
  </si>
  <si>
    <t>-</t>
  </si>
  <si>
    <t>Introduction to Modern Distributed AI </t>
  </si>
  <si>
    <t>GPU Hardware, Networking, and Parallelism Strategies </t>
  </si>
  <si>
    <t>Distributed Training with PyTorch DDP </t>
  </si>
  <si>
    <t>Scaling with Fully Sharded Data Parallel (FSDP) </t>
  </si>
  <si>
    <t>DeepSpeed and ZeRO Optimization </t>
  </si>
  <si>
    <t>SGLang and Advanced Inference Architectures </t>
  </si>
  <si>
    <t>Kubernetes for AI Workloads </t>
  </si>
  <si>
    <t>Production LLM Serving Stack </t>
  </si>
  <si>
    <t xml:space="preserve">Distributed Benchmarking and Performance Optimization </t>
  </si>
  <si>
    <t>Federated Learning and Edge Distributed Systems </t>
  </si>
  <si>
    <t>VITAL STATISTICS (FIRST DRAFT)</t>
  </si>
  <si>
    <t>VITAL STATISTICS (FINAL DRAFT)</t>
  </si>
  <si>
    <t>CHAPTERS</t>
  </si>
  <si>
    <t>FINAL FIRST DRAFT</t>
  </si>
  <si>
    <t>WRITING TIME (DAYS)</t>
  </si>
  <si>
    <t>WRITING TIME (MONTHS)</t>
  </si>
  <si>
    <t>BOOK WRITING TIME (DAYS)</t>
  </si>
  <si>
    <t>BOOK WRITING TIME (MONTHS)</t>
  </si>
  <si>
    <t>CONTRACT to UPLOAD (DAYS)</t>
  </si>
  <si>
    <t>CONTRACT to PUBLISH (DAYS)</t>
  </si>
  <si>
    <t>CONTRACT to UPLOAD (MONTHS)</t>
  </si>
  <si>
    <t>CONTRACT to PUBLISH (MONTHS)</t>
  </si>
  <si>
    <t>* With every new contract schedule - formulas will need to change based on row/column range</t>
  </si>
  <si>
    <t>Last 2 FDs - G column+previous row + 7</t>
  </si>
  <si>
    <t>Target Upload date -  G column Row + N column Row</t>
  </si>
  <si>
    <t>Vital Statistics will also change based on excel range for chapters</t>
  </si>
  <si>
    <r>
      <t>Distributed Inference Fundament</t>
    </r>
    <r>
      <rPr>
        <sz val="10"/>
        <color theme="0"/>
        <rFont val="Roboto"/>
      </rPr>
      <t>als and</t>
    </r>
    <r>
      <rPr>
        <sz val="11"/>
        <color theme="0"/>
        <rFont val="Calibri"/>
        <family val="2"/>
        <scheme val="minor"/>
      </rPr>
      <t> vLLM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</si>
</sst>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6"/>
      <color rgb="FFD8D8D8"/>
      <name val="Calibri"/>
      <family val="2"/>
    </font>
    <font>
      <b/>
      <sz val="14"/>
      <color rgb="FFD8D8D8"/>
      <name val="Calibri"/>
      <family val="2"/>
    </font>
    <font>
      <sz val="11"/>
      <name val="Calibri"/>
      <family val="2"/>
    </font>
    <font>
      <sz val="11"/>
      <color rgb="FFD8D8D8"/>
      <name val="Calibri"/>
      <family val="2"/>
    </font>
    <font>
      <b/>
      <sz val="14"/>
      <color theme="0"/>
      <name val="Calibri"/>
      <family val="2"/>
    </font>
    <font>
      <sz val="11"/>
      <color rgb="FFFFFFFF"/>
      <name val="Calibri"/>
      <family val="2"/>
    </font>
    <font>
      <sz val="10"/>
      <color theme="0"/>
      <name val="Roboto"/>
    </font>
    <font>
      <sz val="11"/>
      <color theme="0" tint="-0.14999847407452621"/>
      <name val="Calibri"/>
      <family val="2"/>
      <scheme val="minor"/>
    </font>
    <font>
      <sz val="10"/>
      <color rgb="FFFFFFFF"/>
      <name val="Robo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242424"/>
      <name val="Segoe U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5" fontId="6" fillId="2" borderId="3" xfId="0" applyNumberFormat="1" applyFont="1" applyFill="1" applyBorder="1" applyAlignment="1">
      <alignment horizontal="center"/>
    </xf>
    <xf numFmtId="0" fontId="6" fillId="2" borderId="0" xfId="0" applyFont="1" applyFill="1"/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5" fontId="6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3" borderId="0" xfId="0" applyFont="1" applyFill="1"/>
    <xf numFmtId="0" fontId="1" fillId="3" borderId="3" xfId="0" applyFont="1" applyFill="1" applyBorder="1" applyAlignment="1">
      <alignment horizontal="center"/>
    </xf>
    <xf numFmtId="0" fontId="9" fillId="3" borderId="3" xfId="0" applyFont="1" applyFill="1" applyBorder="1"/>
    <xf numFmtId="0" fontId="10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5" fontId="2" fillId="2" borderId="0" xfId="0" applyNumberFormat="1" applyFont="1" applyFill="1"/>
    <xf numFmtId="0" fontId="11" fillId="2" borderId="4" xfId="0" applyFont="1" applyFill="1" applyBorder="1"/>
    <xf numFmtId="0" fontId="5" fillId="2" borderId="0" xfId="0" applyFont="1" applyFill="1"/>
    <xf numFmtId="0" fontId="15" fillId="3" borderId="0" xfId="0" applyFont="1" applyFill="1" applyAlignment="1">
      <alignment horizontal="left" vertical="center" wrapText="1" indent="1"/>
    </xf>
    <xf numFmtId="0" fontId="14" fillId="3" borderId="0" xfId="0" applyFont="1" applyFill="1" applyAlignment="1">
      <alignment horizontal="left" vertical="center" wrapText="1" indent="2"/>
    </xf>
    <xf numFmtId="0" fontId="13" fillId="3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wrapText="1" indent="2"/>
    </xf>
    <xf numFmtId="0" fontId="1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5" fontId="6" fillId="2" borderId="0" xfId="0" applyNumberFormat="1" applyFont="1" applyFill="1"/>
    <xf numFmtId="1" fontId="1" fillId="3" borderId="3" xfId="0" applyNumberFormat="1" applyFont="1" applyFill="1" applyBorder="1" applyAlignment="1">
      <alignment horizontal="center"/>
    </xf>
    <xf numFmtId="1" fontId="16" fillId="3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5" fillId="0" borderId="2" xfId="0" applyFont="1" applyBorder="1"/>
    <xf numFmtId="0" fontId="3" fillId="2" borderId="4" xfId="0" applyFont="1" applyFill="1" applyBorder="1" applyAlignment="1">
      <alignment horizontal="left" vertical="center"/>
    </xf>
    <xf numFmtId="0" fontId="5" fillId="0" borderId="4" xfId="0" applyFont="1" applyBorder="1"/>
    <xf numFmtId="0" fontId="4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6D2-4545-4BFF-A9B6-7EBE6FF7AAD6}">
  <dimension ref="A1:Z985"/>
  <sheetViews>
    <sheetView tabSelected="1" topLeftCell="A19" workbookViewId="0">
      <selection activeCell="H42" sqref="H42"/>
    </sheetView>
  </sheetViews>
  <sheetFormatPr defaultColWidth="14.44140625" defaultRowHeight="14.4" x14ac:dyDescent="0.3"/>
  <cols>
    <col min="1" max="1" width="4" customWidth="1"/>
    <col min="2" max="2" width="9" customWidth="1"/>
    <col min="3" max="3" width="54.109375" customWidth="1"/>
    <col min="4" max="4" width="10.109375" customWidth="1"/>
    <col min="5" max="5" width="20.109375" customWidth="1"/>
    <col min="6" max="6" width="27.109375" customWidth="1"/>
    <col min="7" max="7" width="26.6640625" customWidth="1"/>
    <col min="8" max="8" width="33.44140625" customWidth="1"/>
    <col min="9" max="9" width="14.88671875" customWidth="1"/>
    <col min="10" max="10" width="31.5546875" customWidth="1"/>
    <col min="11" max="11" width="16.6640625" customWidth="1"/>
    <col min="12" max="12" width="15.88671875" customWidth="1"/>
    <col min="13" max="13" width="16.44140625" customWidth="1"/>
    <col min="14" max="14" width="13.5546875" customWidth="1"/>
    <col min="15" max="26" width="8.88671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4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34" t="s">
        <v>0</v>
      </c>
      <c r="C3" s="31"/>
      <c r="D3" s="3">
        <v>45998</v>
      </c>
      <c r="E3" s="4"/>
      <c r="F3" s="5" t="s">
        <v>1</v>
      </c>
      <c r="G3" s="5" t="s">
        <v>2</v>
      </c>
      <c r="H3" s="5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5">
      <c r="A4" s="1"/>
      <c r="B4" s="34" t="s">
        <v>4</v>
      </c>
      <c r="C4" s="31"/>
      <c r="D4" s="6">
        <v>2</v>
      </c>
      <c r="E4" s="4"/>
      <c r="F4" s="3">
        <v>45991</v>
      </c>
      <c r="G4" s="3">
        <f>G27+20</f>
        <v>46206</v>
      </c>
      <c r="H4" s="3">
        <f>G4+28</f>
        <v>46234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4"/>
      <c r="C5" s="4"/>
      <c r="D5" s="4"/>
      <c r="E5" s="4"/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1"/>
      <c r="B7" s="34" t="s">
        <v>5</v>
      </c>
      <c r="C7" s="31"/>
      <c r="D7" s="7" t="s">
        <v>6</v>
      </c>
      <c r="E7" s="35" t="s">
        <v>7</v>
      </c>
      <c r="F7" s="31"/>
      <c r="G7" s="21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" x14ac:dyDescent="0.3">
      <c r="A8" s="1"/>
      <c r="B8" s="30" t="s">
        <v>8</v>
      </c>
      <c r="C8" s="31"/>
      <c r="D8" s="3" t="s">
        <v>9</v>
      </c>
      <c r="E8" s="36"/>
      <c r="F8" s="31"/>
      <c r="G8" s="22"/>
      <c r="H8" s="2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8" x14ac:dyDescent="0.3">
      <c r="A9" s="1"/>
      <c r="B9" s="30" t="s">
        <v>10</v>
      </c>
      <c r="C9" s="31"/>
      <c r="D9" s="6" t="s">
        <v>9</v>
      </c>
      <c r="E9" s="36"/>
      <c r="F9" s="31"/>
      <c r="G9" s="22"/>
      <c r="H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8" x14ac:dyDescent="0.3">
      <c r="A10" s="1"/>
      <c r="B10" s="38" t="s">
        <v>11</v>
      </c>
      <c r="C10" s="31"/>
      <c r="D10" s="6" t="s">
        <v>12</v>
      </c>
      <c r="E10" s="36"/>
      <c r="F10" s="31"/>
      <c r="G10" s="22"/>
      <c r="H10" s="23"/>
      <c r="I10" s="8"/>
      <c r="J10" s="9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 x14ac:dyDescent="0.3">
      <c r="A11" s="1"/>
      <c r="B11" s="38" t="s">
        <v>13</v>
      </c>
      <c r="C11" s="31"/>
      <c r="D11" s="3" t="s">
        <v>12</v>
      </c>
      <c r="E11" s="36"/>
      <c r="F11" s="31"/>
      <c r="G11" s="22"/>
      <c r="H11" s="24"/>
      <c r="I11" s="8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 x14ac:dyDescent="0.3">
      <c r="A12" s="1"/>
      <c r="B12" s="1"/>
      <c r="C12" s="1"/>
      <c r="D12" s="4"/>
      <c r="E12" s="9"/>
      <c r="F12" s="9"/>
      <c r="G12" s="22"/>
      <c r="H12" s="20"/>
      <c r="I12" s="8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4"/>
      <c r="E13" s="9"/>
      <c r="F13" s="9"/>
      <c r="G13" s="1"/>
      <c r="H13" s="1"/>
      <c r="I13" s="8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x14ac:dyDescent="0.4">
      <c r="A14" s="1"/>
      <c r="B14" s="37" t="s">
        <v>14</v>
      </c>
      <c r="C14" s="33"/>
      <c r="D14" s="4"/>
      <c r="E14" s="4"/>
      <c r="F14" s="4"/>
      <c r="G14" s="1"/>
      <c r="H14" s="1"/>
      <c r="I14" s="8"/>
      <c r="J14" s="9"/>
      <c r="K14" s="9"/>
      <c r="L14" s="1"/>
      <c r="M14" s="1"/>
      <c r="N14" s="1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5" t="s">
        <v>15</v>
      </c>
      <c r="C15" s="7" t="s">
        <v>16</v>
      </c>
      <c r="D15" s="7" t="s">
        <v>17</v>
      </c>
      <c r="E15" s="7" t="s">
        <v>18</v>
      </c>
      <c r="F15" s="5" t="s">
        <v>19</v>
      </c>
      <c r="G15" s="5" t="s">
        <v>20</v>
      </c>
      <c r="H15" s="1"/>
      <c r="I15" s="8"/>
      <c r="J15" s="9"/>
      <c r="K15" s="9"/>
      <c r="L15" s="1"/>
      <c r="M15" s="1"/>
      <c r="N15" s="1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6">
        <v>0</v>
      </c>
      <c r="C16" s="19" t="s">
        <v>21</v>
      </c>
      <c r="D16" s="25">
        <v>2</v>
      </c>
      <c r="E16" s="10">
        <v>7</v>
      </c>
      <c r="F16" s="3">
        <f>IF(B16&lt;&gt;"",D3+E16,"")</f>
        <v>46005</v>
      </c>
      <c r="G16" s="6" t="s">
        <v>22</v>
      </c>
      <c r="H16" s="1"/>
      <c r="I16" s="8"/>
      <c r="J16" s="9"/>
      <c r="K16" s="9"/>
      <c r="L16" s="1"/>
      <c r="M16" s="1"/>
      <c r="N16" s="1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6">
        <v>1</v>
      </c>
      <c r="C17" s="19" t="s">
        <v>23</v>
      </c>
      <c r="D17" s="25">
        <v>28</v>
      </c>
      <c r="E17" s="28">
        <f>D17/D4</f>
        <v>14</v>
      </c>
      <c r="F17" s="3">
        <f>IF(B17&lt;&gt;"",F16+E17,"")</f>
        <v>46019</v>
      </c>
      <c r="G17" s="3">
        <f>IF(C17&lt;&gt;"",F19+5,"")</f>
        <v>46055</v>
      </c>
      <c r="H17" s="1"/>
      <c r="I17" s="8"/>
      <c r="J17" s="9"/>
      <c r="K17" s="9"/>
      <c r="L17" s="1"/>
      <c r="M17" s="1"/>
      <c r="N17" s="1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6">
        <v>2</v>
      </c>
      <c r="C18" s="19" t="s">
        <v>24</v>
      </c>
      <c r="D18" s="25">
        <v>30</v>
      </c>
      <c r="E18" s="28">
        <f>D18/D4</f>
        <v>15</v>
      </c>
      <c r="F18" s="3">
        <f t="shared" ref="F18:F30" si="0">IF(B18&lt;&gt;"",F17+E18,"")</f>
        <v>46034</v>
      </c>
      <c r="G18" s="3">
        <f t="shared" ref="G18:G23" si="1">IF(C18&lt;&gt;"",F20+5,"")</f>
        <v>46069</v>
      </c>
      <c r="H18" s="1"/>
      <c r="I18" s="8"/>
      <c r="J18" s="9"/>
      <c r="K18" s="9"/>
      <c r="L18" s="1"/>
      <c r="M18" s="1"/>
      <c r="N18" s="1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6">
        <v>3</v>
      </c>
      <c r="C19" s="19" t="s">
        <v>25</v>
      </c>
      <c r="D19" s="25">
        <v>32</v>
      </c>
      <c r="E19" s="28">
        <f>D19/D4</f>
        <v>16</v>
      </c>
      <c r="F19" s="3">
        <f t="shared" si="0"/>
        <v>46050</v>
      </c>
      <c r="G19" s="3">
        <f t="shared" si="1"/>
        <v>46084</v>
      </c>
      <c r="H19" s="1"/>
      <c r="I19" s="8"/>
      <c r="J19" s="9"/>
      <c r="K19" s="9"/>
      <c r="L19" s="1"/>
      <c r="M19" s="1"/>
      <c r="N19" s="1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6">
        <v>4</v>
      </c>
      <c r="C20" s="19" t="s">
        <v>26</v>
      </c>
      <c r="D20" s="25">
        <v>28</v>
      </c>
      <c r="E20" s="28">
        <f>D20/D4</f>
        <v>14</v>
      </c>
      <c r="F20" s="3">
        <f t="shared" si="0"/>
        <v>46064</v>
      </c>
      <c r="G20" s="3">
        <f t="shared" si="1"/>
        <v>46099</v>
      </c>
      <c r="H20" s="1"/>
      <c r="I20" s="8"/>
      <c r="J20" s="9"/>
      <c r="K20" s="9"/>
      <c r="L20" s="1"/>
      <c r="M20" s="1"/>
      <c r="N20" s="1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6">
        <v>5</v>
      </c>
      <c r="C21" s="19" t="s">
        <v>27</v>
      </c>
      <c r="D21" s="25">
        <v>30</v>
      </c>
      <c r="E21" s="28">
        <f>D21/D4</f>
        <v>15</v>
      </c>
      <c r="F21" s="3">
        <f t="shared" si="0"/>
        <v>46079</v>
      </c>
      <c r="G21" s="3">
        <f t="shared" si="1"/>
        <v>46112</v>
      </c>
      <c r="H21" s="1"/>
      <c r="I21" s="8"/>
      <c r="J21" s="9"/>
      <c r="K21" s="9"/>
      <c r="L21" s="1"/>
      <c r="M21" s="1"/>
      <c r="N21" s="1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6">
        <v>6</v>
      </c>
      <c r="C22" s="19" t="s">
        <v>49</v>
      </c>
      <c r="D22" s="25">
        <v>30</v>
      </c>
      <c r="E22" s="28">
        <f>D22/D4</f>
        <v>15</v>
      </c>
      <c r="F22" s="3">
        <f t="shared" si="0"/>
        <v>46094</v>
      </c>
      <c r="G22" s="3">
        <f t="shared" si="1"/>
        <v>46127</v>
      </c>
      <c r="H22" s="1"/>
      <c r="I22" s="8"/>
      <c r="J22" s="9"/>
      <c r="K22" s="9"/>
      <c r="L22" s="1"/>
      <c r="M22" s="1"/>
      <c r="N22" s="1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6">
        <v>7</v>
      </c>
      <c r="C23" s="19" t="s">
        <v>28</v>
      </c>
      <c r="D23" s="25">
        <v>26</v>
      </c>
      <c r="E23" s="28">
        <f>D23/D4</f>
        <v>13</v>
      </c>
      <c r="F23" s="3">
        <f t="shared" si="0"/>
        <v>46107</v>
      </c>
      <c r="G23" s="3">
        <f t="shared" si="1"/>
        <v>46143</v>
      </c>
      <c r="H23" s="1"/>
      <c r="I23" s="8"/>
      <c r="J23" s="9"/>
      <c r="K23" s="9"/>
      <c r="L23" s="1"/>
      <c r="M23" s="1"/>
      <c r="N23" s="1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6">
        <v>8</v>
      </c>
      <c r="C24" s="19" t="s">
        <v>29</v>
      </c>
      <c r="D24" s="25">
        <v>30</v>
      </c>
      <c r="E24" s="28">
        <f>D24/D4</f>
        <v>15</v>
      </c>
      <c r="F24" s="3">
        <f t="shared" si="0"/>
        <v>46122</v>
      </c>
      <c r="G24" s="3">
        <f>IF(C24&lt;&gt;"",F26+5,"")</f>
        <v>46157</v>
      </c>
      <c r="H24" s="1"/>
      <c r="I24" s="8"/>
      <c r="J24" s="9"/>
      <c r="K24" s="9"/>
      <c r="L24" s="1"/>
      <c r="M24" s="1"/>
      <c r="N24" s="1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6">
        <v>9</v>
      </c>
      <c r="C25" s="19" t="s">
        <v>30</v>
      </c>
      <c r="D25" s="25">
        <v>32</v>
      </c>
      <c r="E25" s="28">
        <f>D25/D4</f>
        <v>16</v>
      </c>
      <c r="F25" s="3">
        <f t="shared" si="0"/>
        <v>46138</v>
      </c>
      <c r="G25" s="3">
        <f>IF(C25&lt;&gt;"",F27+5,"")</f>
        <v>46172</v>
      </c>
      <c r="H25" s="1"/>
      <c r="I25" s="8"/>
      <c r="J25" s="9"/>
      <c r="K25" s="9"/>
      <c r="L25" s="1"/>
      <c r="M25" s="1"/>
      <c r="N25" s="1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6">
        <v>10</v>
      </c>
      <c r="C26" s="19" t="s">
        <v>31</v>
      </c>
      <c r="D26" s="25">
        <v>28</v>
      </c>
      <c r="E26" s="28">
        <f>D26/D4</f>
        <v>14</v>
      </c>
      <c r="F26" s="3">
        <f>IF(B26&lt;&gt;"",F25+E26,"")</f>
        <v>46152</v>
      </c>
      <c r="G26" s="3">
        <f>IF(C26&lt;&gt;"",G25+7,"")</f>
        <v>46179</v>
      </c>
      <c r="H26" s="1"/>
      <c r="I26" s="8"/>
      <c r="J26" s="9"/>
      <c r="K26" s="9"/>
      <c r="L26" s="1"/>
      <c r="M26" s="1"/>
      <c r="N26" s="1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6">
        <v>11</v>
      </c>
      <c r="C27" s="19" t="s">
        <v>32</v>
      </c>
      <c r="D27" s="25">
        <v>30</v>
      </c>
      <c r="E27" s="28">
        <f>D27/D4</f>
        <v>15</v>
      </c>
      <c r="F27" s="3">
        <f t="shared" si="0"/>
        <v>46167</v>
      </c>
      <c r="G27" s="3">
        <f>IF(C27&lt;&gt;"",G26+7,"")</f>
        <v>46186</v>
      </c>
      <c r="H27" s="1"/>
      <c r="I27" s="8"/>
      <c r="J27" s="9"/>
      <c r="K27" s="9"/>
      <c r="L27" s="1"/>
      <c r="M27" s="1"/>
      <c r="N27" s="1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6"/>
      <c r="C28" s="19"/>
      <c r="D28" s="25"/>
      <c r="E28" s="12"/>
      <c r="F28" s="3"/>
      <c r="G28" s="3"/>
      <c r="H28" s="1"/>
      <c r="I28" s="8"/>
      <c r="J28" s="9"/>
      <c r="K28" s="9"/>
      <c r="L28" s="1"/>
      <c r="M28" s="1"/>
      <c r="N28" s="1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6"/>
      <c r="C29" s="13"/>
      <c r="D29" s="26">
        <f>SUM(D16:D28)</f>
        <v>326</v>
      </c>
      <c r="E29" s="29">
        <f>SUM(E16:E28)</f>
        <v>169</v>
      </c>
      <c r="F29" s="3" t="str">
        <f>IF(B29&lt;&gt;"",#REF!+E29,"")</f>
        <v/>
      </c>
      <c r="G29" s="3" t="str">
        <f>IF(C29&lt;&gt;"",#REF!+20,"")</f>
        <v/>
      </c>
      <c r="H29" s="1"/>
      <c r="I29" s="8"/>
      <c r="J29" s="9"/>
      <c r="K29" s="9"/>
      <c r="L29" s="1"/>
      <c r="M29" s="1"/>
      <c r="N29" s="1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4"/>
      <c r="C30" s="11"/>
      <c r="D30" s="15"/>
      <c r="E30" s="15"/>
      <c r="F30" s="15" t="str">
        <f t="shared" si="0"/>
        <v/>
      </c>
      <c r="G30" s="8"/>
      <c r="H30" s="1"/>
      <c r="I30" s="8"/>
      <c r="J30" s="9"/>
      <c r="K30" s="9"/>
      <c r="L30" s="1"/>
      <c r="M30" s="1"/>
      <c r="N30" s="1"/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x14ac:dyDescent="0.3">
      <c r="A31" s="1"/>
      <c r="B31" s="32" t="s">
        <v>33</v>
      </c>
      <c r="C31" s="33"/>
      <c r="D31" s="4"/>
      <c r="E31" s="1"/>
      <c r="F31" s="32" t="s">
        <v>34</v>
      </c>
      <c r="G31" s="33"/>
      <c r="H31" s="4"/>
      <c r="I31" s="8"/>
      <c r="J31" s="9"/>
      <c r="K31" s="9"/>
      <c r="L31" s="1"/>
      <c r="M31" s="1"/>
      <c r="N31" s="1"/>
      <c r="O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30" t="s">
        <v>35</v>
      </c>
      <c r="C32" s="31"/>
      <c r="D32" s="6">
        <f>COUNT(B16:B29)</f>
        <v>12</v>
      </c>
      <c r="E32" s="1"/>
      <c r="F32" s="30" t="s">
        <v>35</v>
      </c>
      <c r="G32" s="31"/>
      <c r="H32" s="6">
        <f>COUNT(B16:B29)</f>
        <v>12</v>
      </c>
      <c r="I32" s="8"/>
      <c r="J32" s="9"/>
      <c r="K32" s="9"/>
      <c r="L32" s="1"/>
      <c r="M32" s="1"/>
      <c r="N32" s="1"/>
      <c r="O32" s="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30" t="s">
        <v>36</v>
      </c>
      <c r="C33" s="31"/>
      <c r="D33" s="3">
        <f>F27</f>
        <v>46167</v>
      </c>
      <c r="E33" s="1"/>
      <c r="F33" s="30" t="s">
        <v>36</v>
      </c>
      <c r="G33" s="31"/>
      <c r="H33" s="3">
        <f>G27</f>
        <v>46186</v>
      </c>
      <c r="I33" s="8"/>
      <c r="J33" s="9"/>
      <c r="K33" s="9"/>
      <c r="L33" s="1"/>
      <c r="M33" s="1"/>
      <c r="N33" s="1"/>
      <c r="O33" s="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30" t="s">
        <v>37</v>
      </c>
      <c r="C34" s="31"/>
      <c r="D34" s="16">
        <f>SUM(E16:E28)</f>
        <v>169</v>
      </c>
      <c r="E34" s="1"/>
      <c r="F34" s="30" t="s">
        <v>37</v>
      </c>
      <c r="G34" s="31"/>
      <c r="H34" s="6">
        <f>G27-G17</f>
        <v>131</v>
      </c>
      <c r="I34" s="8"/>
      <c r="J34" s="9"/>
      <c r="K34" s="9"/>
      <c r="L34" s="1"/>
      <c r="M34" s="1"/>
      <c r="N34" s="1"/>
      <c r="O34" s="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30" t="s">
        <v>38</v>
      </c>
      <c r="C35" s="31"/>
      <c r="D35" s="16">
        <f>D34/30</f>
        <v>5.6333333333333337</v>
      </c>
      <c r="E35" s="1"/>
      <c r="F35" s="30" t="s">
        <v>38</v>
      </c>
      <c r="G35" s="31"/>
      <c r="H35" s="16">
        <f>H34/30</f>
        <v>4.3666666666666663</v>
      </c>
      <c r="I35" s="8"/>
      <c r="J35" s="9"/>
      <c r="K35" s="9"/>
      <c r="L35" s="1"/>
      <c r="M35" s="1"/>
      <c r="N35" s="1"/>
      <c r="O35" s="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7"/>
      <c r="C36" s="17"/>
      <c r="D36" s="18"/>
      <c r="E36" s="1"/>
      <c r="F36" s="1"/>
      <c r="G36" s="1"/>
      <c r="H36" s="1"/>
      <c r="I36" s="8"/>
      <c r="J36" s="9"/>
      <c r="K36" s="9"/>
      <c r="L36" s="1"/>
      <c r="M36" s="1"/>
      <c r="N36" s="1"/>
      <c r="O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30" t="s">
        <v>39</v>
      </c>
      <c r="C37" s="31"/>
      <c r="D37" s="16">
        <f>G27-D3</f>
        <v>188</v>
      </c>
      <c r="E37" s="1"/>
      <c r="F37" s="1"/>
      <c r="G37" s="1"/>
      <c r="H37" s="1"/>
      <c r="I37" s="8"/>
      <c r="J37" s="9"/>
      <c r="K37" s="9"/>
      <c r="L37" s="1"/>
      <c r="M37" s="1"/>
      <c r="N37" s="1"/>
      <c r="O37" s="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30" t="s">
        <v>40</v>
      </c>
      <c r="C38" s="31"/>
      <c r="D38" s="16">
        <f>D37/30</f>
        <v>6.2666666666666666</v>
      </c>
      <c r="E38" s="1"/>
      <c r="F38" s="1"/>
      <c r="G38" s="1"/>
      <c r="H38" s="1"/>
      <c r="I38" s="8"/>
      <c r="J38" s="9"/>
      <c r="K38" s="9"/>
      <c r="L38" s="1"/>
      <c r="M38" s="1"/>
      <c r="N38" s="1"/>
      <c r="O38" s="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8"/>
      <c r="J39" s="9"/>
      <c r="K39" s="9"/>
      <c r="L39" s="1"/>
      <c r="M39" s="1"/>
      <c r="N39" s="1"/>
      <c r="O39" s="8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30" t="s">
        <v>41</v>
      </c>
      <c r="C40" s="31"/>
      <c r="D40" s="16">
        <f>G4-F4</f>
        <v>215</v>
      </c>
      <c r="E40" s="1"/>
      <c r="F40" s="30" t="s">
        <v>42</v>
      </c>
      <c r="G40" s="31"/>
      <c r="H40" s="16">
        <f>H4-F4</f>
        <v>243</v>
      </c>
      <c r="I40" s="8"/>
      <c r="J40" s="9"/>
      <c r="K40" s="9"/>
      <c r="L40" s="1"/>
      <c r="M40" s="1"/>
      <c r="N40" s="1"/>
      <c r="O40" s="8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30" t="s">
        <v>43</v>
      </c>
      <c r="C41" s="31"/>
      <c r="D41" s="16">
        <f>D40/30</f>
        <v>7.166666666666667</v>
      </c>
      <c r="E41" s="1"/>
      <c r="F41" s="30" t="s">
        <v>44</v>
      </c>
      <c r="G41" s="31"/>
      <c r="H41" s="16">
        <f>H40/30</f>
        <v>8.1</v>
      </c>
      <c r="I41" s="8"/>
      <c r="J41" s="9"/>
      <c r="K41" s="9"/>
      <c r="L41" s="1"/>
      <c r="M41" s="1"/>
      <c r="N41" s="1"/>
      <c r="O41" s="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8"/>
      <c r="J42" s="9"/>
      <c r="K42" s="9"/>
      <c r="L42" s="1"/>
      <c r="M42" s="1"/>
      <c r="N42" s="1"/>
      <c r="O42" s="8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8"/>
      <c r="J43" s="9"/>
      <c r="K43" s="9"/>
      <c r="L43" s="1"/>
      <c r="M43" s="1"/>
      <c r="N43" s="1"/>
      <c r="O43" s="8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8"/>
      <c r="J44" s="9"/>
      <c r="K44" s="9"/>
      <c r="L44" s="1"/>
      <c r="M44" s="1"/>
      <c r="N44" s="1"/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8"/>
      <c r="J45" s="9"/>
      <c r="K45" s="9"/>
      <c r="L45" s="1"/>
      <c r="M45" s="1"/>
      <c r="N45" s="1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 t="s">
        <v>45</v>
      </c>
      <c r="C46" s="1"/>
      <c r="D46" s="1"/>
      <c r="E46" s="1"/>
      <c r="F46" s="1"/>
      <c r="G46" s="1"/>
      <c r="H46" s="1"/>
      <c r="I46" s="8"/>
      <c r="J46" s="9"/>
      <c r="K46" s="9"/>
      <c r="L46" s="1"/>
      <c r="M46" s="1"/>
      <c r="N46" s="1"/>
      <c r="O46" s="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>
        <v>1</v>
      </c>
      <c r="C47" s="1" t="s">
        <v>46</v>
      </c>
      <c r="D47" s="1"/>
      <c r="E47" s="1"/>
      <c r="F47" s="1"/>
      <c r="G47" s="1"/>
      <c r="H47" s="1"/>
      <c r="I47" s="8"/>
      <c r="J47" s="9"/>
      <c r="K47" s="9"/>
      <c r="L47" s="1"/>
      <c r="M47" s="1"/>
      <c r="N47" s="1"/>
      <c r="O47" s="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>
        <v>2</v>
      </c>
      <c r="C48" s="1" t="s">
        <v>47</v>
      </c>
      <c r="D48" s="1"/>
      <c r="E48" s="1"/>
      <c r="F48" s="1"/>
      <c r="G48" s="1"/>
      <c r="H48" s="1"/>
      <c r="I48" s="8"/>
      <c r="J48" s="9"/>
      <c r="K48" s="9"/>
      <c r="L48" s="1"/>
      <c r="M48" s="1"/>
      <c r="N48" s="1"/>
      <c r="O48" s="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>
        <v>3</v>
      </c>
      <c r="C49" s="1" t="s">
        <v>48</v>
      </c>
      <c r="D49" s="1"/>
      <c r="E49" s="1"/>
      <c r="F49" s="1"/>
      <c r="G49" s="1"/>
      <c r="H49" s="1"/>
      <c r="I49" s="8"/>
      <c r="J49" s="9"/>
      <c r="K49" s="9"/>
      <c r="L49" s="1"/>
      <c r="M49" s="1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8"/>
      <c r="J50" s="9"/>
      <c r="K50" s="9"/>
      <c r="L50" s="1"/>
      <c r="M50" s="1"/>
      <c r="N50" s="1"/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8"/>
      <c r="J51" s="9"/>
      <c r="K51" s="9"/>
      <c r="L51" s="1"/>
      <c r="M51" s="1"/>
      <c r="N51" s="1"/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8"/>
      <c r="J52" s="9"/>
      <c r="K52" s="9"/>
      <c r="L52" s="1"/>
      <c r="M52" s="1"/>
      <c r="N52" s="1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8"/>
      <c r="J53" s="9"/>
      <c r="K53" s="9"/>
      <c r="L53" s="1"/>
      <c r="M53" s="1"/>
      <c r="N53" s="1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8"/>
      <c r="J54" s="9"/>
      <c r="K54" s="9"/>
      <c r="L54" s="1"/>
      <c r="M54" s="1"/>
      <c r="N54" s="1"/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8"/>
      <c r="J55" s="9"/>
      <c r="K55" s="9"/>
      <c r="L55" s="1"/>
      <c r="M55" s="1"/>
      <c r="N55" s="1"/>
      <c r="O55" s="8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8"/>
      <c r="J56" s="9"/>
      <c r="K56" s="9"/>
      <c r="L56" s="1"/>
      <c r="M56" s="1"/>
      <c r="N56" s="1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8"/>
      <c r="J57" s="9"/>
      <c r="K57" s="9"/>
      <c r="L57" s="1"/>
      <c r="M57" s="1"/>
      <c r="N57" s="1"/>
      <c r="O57" s="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8"/>
      <c r="J58" s="9"/>
      <c r="K58" s="9"/>
      <c r="L58" s="1"/>
      <c r="M58" s="1"/>
      <c r="N58" s="1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8"/>
      <c r="J59" s="9"/>
      <c r="K59" s="9"/>
      <c r="L59" s="1"/>
      <c r="M59" s="1"/>
      <c r="N59" s="1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8"/>
      <c r="J60" s="9"/>
      <c r="K60" s="9"/>
      <c r="L60" s="1"/>
      <c r="M60" s="1"/>
      <c r="N60" s="1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8"/>
      <c r="J61" s="9"/>
      <c r="K61" s="9"/>
      <c r="L61" s="1"/>
      <c r="M61" s="1"/>
      <c r="N61" s="1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8"/>
      <c r="J62" s="9"/>
      <c r="K62" s="9"/>
      <c r="L62" s="1"/>
      <c r="M62" s="1"/>
      <c r="N62" s="1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8"/>
      <c r="J63" s="9"/>
      <c r="K63" s="9"/>
      <c r="L63" s="1"/>
      <c r="M63" s="1"/>
      <c r="N63" s="1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8"/>
      <c r="J64" s="9"/>
      <c r="K64" s="9"/>
      <c r="L64" s="1"/>
      <c r="M64" s="1"/>
      <c r="N64" s="1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8"/>
      <c r="J65" s="9"/>
      <c r="K65" s="9"/>
      <c r="L65" s="1"/>
      <c r="M65" s="1"/>
      <c r="N65" s="1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8"/>
      <c r="J66" s="9"/>
      <c r="K66" s="9"/>
      <c r="L66" s="1"/>
      <c r="M66" s="1"/>
      <c r="N66" s="1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8"/>
      <c r="J67" s="9"/>
      <c r="K67" s="9"/>
      <c r="L67" s="1"/>
      <c r="M67" s="1"/>
      <c r="N67" s="1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8"/>
      <c r="J68" s="9"/>
      <c r="K68" s="9"/>
      <c r="L68" s="1"/>
      <c r="M68" s="1"/>
      <c r="N68" s="1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8"/>
      <c r="J69" s="9"/>
      <c r="K69" s="9"/>
      <c r="L69" s="1"/>
      <c r="M69" s="1"/>
      <c r="N69" s="1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8"/>
      <c r="J70" s="9"/>
      <c r="K70" s="9"/>
      <c r="L70" s="1"/>
      <c r="M70" s="1"/>
      <c r="N70" s="1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8"/>
      <c r="J71" s="9"/>
      <c r="K71" s="9"/>
      <c r="L71" s="1"/>
      <c r="M71" s="1"/>
      <c r="N71" s="1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8"/>
      <c r="J72" s="9"/>
      <c r="K72" s="9"/>
      <c r="L72" s="1"/>
      <c r="M72" s="1"/>
      <c r="N72" s="1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8"/>
      <c r="J73" s="9"/>
      <c r="K73" s="9"/>
      <c r="L73" s="1"/>
      <c r="M73" s="1"/>
      <c r="N73" s="1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8"/>
      <c r="J74" s="9"/>
      <c r="K74" s="9"/>
      <c r="L74" s="1"/>
      <c r="M74" s="1"/>
      <c r="N74" s="1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8"/>
      <c r="J75" s="9"/>
      <c r="K75" s="9"/>
      <c r="L75" s="1"/>
      <c r="M75" s="1"/>
      <c r="N75" s="1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8"/>
      <c r="J76" s="9"/>
      <c r="K76" s="9"/>
      <c r="L76" s="1"/>
      <c r="M76" s="1"/>
      <c r="N76" s="1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8"/>
      <c r="J77" s="9"/>
      <c r="K77" s="9"/>
      <c r="L77" s="1"/>
      <c r="M77" s="1"/>
      <c r="N77" s="1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8"/>
      <c r="J78" s="9"/>
      <c r="K78" s="9"/>
      <c r="L78" s="1"/>
      <c r="M78" s="1"/>
      <c r="N78" s="1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8"/>
      <c r="J79" s="9"/>
      <c r="K79" s="9"/>
      <c r="L79" s="1"/>
      <c r="M79" s="1"/>
      <c r="N79" s="1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8"/>
      <c r="J80" s="9"/>
      <c r="K80" s="9"/>
      <c r="L80" s="1"/>
      <c r="M80" s="1"/>
      <c r="N80" s="1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8"/>
      <c r="J81" s="9"/>
      <c r="K81" s="9"/>
      <c r="L81" s="1"/>
      <c r="M81" s="1"/>
      <c r="N81" s="1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8"/>
      <c r="J82" s="9"/>
      <c r="K82" s="9"/>
      <c r="L82" s="1"/>
      <c r="M82" s="1"/>
      <c r="N82" s="1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8"/>
      <c r="J83" s="9"/>
      <c r="K83" s="9"/>
      <c r="L83" s="1"/>
      <c r="M83" s="1"/>
      <c r="N83" s="1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8"/>
      <c r="J84" s="9"/>
      <c r="K84" s="9"/>
      <c r="L84" s="1"/>
      <c r="M84" s="1"/>
      <c r="N84" s="1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8"/>
      <c r="J85" s="9"/>
      <c r="K85" s="9"/>
      <c r="L85" s="1"/>
      <c r="M85" s="1"/>
      <c r="N85" s="1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8"/>
      <c r="J86" s="9"/>
      <c r="K86" s="9"/>
      <c r="L86" s="1"/>
      <c r="M86" s="1"/>
      <c r="N86" s="1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8"/>
      <c r="J87" s="9"/>
      <c r="K87" s="9"/>
      <c r="L87" s="1"/>
      <c r="M87" s="1"/>
      <c r="N87" s="1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8"/>
      <c r="J88" s="9"/>
      <c r="K88" s="9"/>
      <c r="L88" s="1"/>
      <c r="M88" s="1"/>
      <c r="N88" s="1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8"/>
      <c r="J89" s="9"/>
      <c r="K89" s="9"/>
      <c r="L89" s="1"/>
      <c r="M89" s="1"/>
      <c r="N89" s="1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8"/>
      <c r="J90" s="9"/>
      <c r="K90" s="9"/>
      <c r="L90" s="1"/>
      <c r="M90" s="1"/>
      <c r="N90" s="1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8"/>
      <c r="J91" s="9"/>
      <c r="K91" s="9"/>
      <c r="L91" s="1"/>
      <c r="M91" s="1"/>
      <c r="N91" s="1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8"/>
      <c r="J92" s="9"/>
      <c r="K92" s="9"/>
      <c r="L92" s="1"/>
      <c r="M92" s="1"/>
      <c r="N92" s="1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8"/>
      <c r="J93" s="9"/>
      <c r="K93" s="9"/>
      <c r="L93" s="1"/>
      <c r="M93" s="1"/>
      <c r="N93" s="1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8"/>
      <c r="J94" s="9"/>
      <c r="K94" s="9"/>
      <c r="L94" s="1"/>
      <c r="M94" s="1"/>
      <c r="N94" s="1"/>
      <c r="O94" s="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8"/>
      <c r="J95" s="9"/>
      <c r="K95" s="9"/>
      <c r="L95" s="1"/>
      <c r="M95" s="1"/>
      <c r="N95" s="1"/>
      <c r="O95" s="8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8"/>
      <c r="J96" s="9"/>
      <c r="K96" s="9"/>
      <c r="L96" s="1"/>
      <c r="M96" s="1"/>
      <c r="N96" s="1"/>
      <c r="O96" s="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8"/>
      <c r="J97" s="9"/>
      <c r="K97" s="9"/>
      <c r="L97" s="1"/>
      <c r="M97" s="1"/>
      <c r="N97" s="1"/>
      <c r="O97" s="8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8"/>
      <c r="J98" s="9"/>
      <c r="K98" s="9"/>
      <c r="L98" s="1"/>
      <c r="M98" s="1"/>
      <c r="N98" s="1"/>
      <c r="O98" s="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8"/>
      <c r="J99" s="9"/>
      <c r="K99" s="9"/>
      <c r="L99" s="1"/>
      <c r="M99" s="1"/>
      <c r="N99" s="1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8"/>
      <c r="J100" s="9"/>
      <c r="K100" s="9"/>
      <c r="L100" s="1"/>
      <c r="M100" s="1"/>
      <c r="N100" s="1"/>
      <c r="O100" s="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8"/>
      <c r="J101" s="9"/>
      <c r="K101" s="9"/>
      <c r="L101" s="1"/>
      <c r="M101" s="1"/>
      <c r="N101" s="1"/>
      <c r="O101" s="8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29">
    <mergeCell ref="B14:C14"/>
    <mergeCell ref="B9:C9"/>
    <mergeCell ref="E9:F9"/>
    <mergeCell ref="B10:C10"/>
    <mergeCell ref="E10:F10"/>
    <mergeCell ref="B11:C11"/>
    <mergeCell ref="E11:F11"/>
    <mergeCell ref="B3:C3"/>
    <mergeCell ref="B4:C4"/>
    <mergeCell ref="B7:C7"/>
    <mergeCell ref="E7:F7"/>
    <mergeCell ref="B8:C8"/>
    <mergeCell ref="E8:F8"/>
    <mergeCell ref="B31:C31"/>
    <mergeCell ref="B32:C32"/>
    <mergeCell ref="B33:C33"/>
    <mergeCell ref="B34:C34"/>
    <mergeCell ref="B41:C41"/>
    <mergeCell ref="B37:C37"/>
    <mergeCell ref="B38:C38"/>
    <mergeCell ref="B40:C40"/>
    <mergeCell ref="B35:C35"/>
    <mergeCell ref="F40:G40"/>
    <mergeCell ref="F41:G41"/>
    <mergeCell ref="F35:G35"/>
    <mergeCell ref="F31:G31"/>
    <mergeCell ref="F32:G32"/>
    <mergeCell ref="F33:G33"/>
    <mergeCell ref="F34:G34"/>
  </mergeCells>
  <dataValidations count="2">
    <dataValidation type="date" allowBlank="1" showErrorMessage="1" sqref="E8:E11 E12:F13 J10:K13" xr:uid="{F007B7F2-83A9-4829-877C-95FB6A52CB06}">
      <formula1>TODAY()</formula1>
      <formula2>44196</formula2>
    </dataValidation>
    <dataValidation type="list" allowBlank="1" showErrorMessage="1" sqref="D8:D11 I8:I13" xr:uid="{3F951523-F523-4BEE-A7EB-76B626C63E2A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Vaideeshwari Muralikrishnan</dc:creator>
  <cp:keywords/>
  <dc:description/>
  <cp:lastModifiedBy>Rithika Shetty</cp:lastModifiedBy>
  <cp:revision/>
  <dcterms:created xsi:type="dcterms:W3CDTF">2022-05-30T06:35:48Z</dcterms:created>
  <dcterms:modified xsi:type="dcterms:W3CDTF">2025-11-25T18:15:02Z</dcterms:modified>
  <cp:category/>
  <cp:contentStatus/>
</cp:coreProperties>
</file>